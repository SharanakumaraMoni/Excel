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n Moni\OneDrive\Desktop\"/>
    </mc:Choice>
  </mc:AlternateContent>
  <xr:revisionPtr revIDLastSave="0" documentId="8_{DC0259E7-15EA-4AB2-8377-0A95484F25F4}" xr6:coauthVersionLast="47" xr6:coauthVersionMax="47" xr10:uidLastSave="{00000000-0000-0000-0000-000000000000}"/>
  <bookViews>
    <workbookView xWindow="-108" yWindow="-108" windowWidth="23256" windowHeight="12456" xr2:uid="{F90FEE0F-556C-461E-9F4D-B4C8A4C56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X11" i="1"/>
  <c r="V11" i="1"/>
  <c r="U11" i="1"/>
  <c r="T11" i="1"/>
  <c r="S11" i="1"/>
  <c r="R11" i="1"/>
  <c r="Q11" i="1"/>
  <c r="N11" i="1"/>
  <c r="M11" i="1"/>
  <c r="J11" i="1"/>
  <c r="I11" i="1"/>
  <c r="H11" i="1"/>
  <c r="G11" i="1"/>
  <c r="F11" i="1"/>
  <c r="E11" i="1"/>
  <c r="D11" i="1"/>
  <c r="C11" i="1"/>
  <c r="B11" i="1"/>
  <c r="X10" i="1"/>
  <c r="V10" i="1"/>
  <c r="U10" i="1"/>
  <c r="T10" i="1"/>
  <c r="S10" i="1"/>
  <c r="R10" i="1"/>
  <c r="Q10" i="1"/>
  <c r="N10" i="1"/>
  <c r="M10" i="1"/>
  <c r="J10" i="1"/>
  <c r="I10" i="1"/>
  <c r="H10" i="1"/>
  <c r="G10" i="1"/>
  <c r="F10" i="1"/>
  <c r="E10" i="1"/>
  <c r="D10" i="1"/>
  <c r="C10" i="1"/>
  <c r="B10" i="1"/>
  <c r="X9" i="1"/>
  <c r="V9" i="1"/>
  <c r="U9" i="1"/>
  <c r="T9" i="1"/>
  <c r="S9" i="1"/>
  <c r="R9" i="1"/>
  <c r="Q9" i="1"/>
  <c r="N9" i="1"/>
  <c r="M9" i="1"/>
  <c r="J9" i="1"/>
  <c r="I9" i="1"/>
  <c r="H9" i="1"/>
  <c r="G9" i="1"/>
  <c r="F9" i="1"/>
  <c r="E9" i="1"/>
  <c r="D9" i="1"/>
  <c r="C9" i="1"/>
  <c r="B9" i="1"/>
  <c r="X8" i="1"/>
  <c r="V8" i="1"/>
  <c r="U8" i="1"/>
  <c r="T8" i="1"/>
  <c r="S8" i="1"/>
  <c r="R8" i="1"/>
  <c r="Q8" i="1"/>
  <c r="N8" i="1"/>
  <c r="M8" i="1"/>
  <c r="J8" i="1"/>
  <c r="I8" i="1"/>
  <c r="H8" i="1"/>
  <c r="G8" i="1"/>
  <c r="F8" i="1"/>
  <c r="E8" i="1"/>
  <c r="D8" i="1"/>
  <c r="C8" i="1"/>
  <c r="B8" i="1"/>
  <c r="X7" i="1"/>
  <c r="V7" i="1"/>
  <c r="U7" i="1"/>
  <c r="T7" i="1"/>
  <c r="S7" i="1"/>
  <c r="R7" i="1"/>
  <c r="Q7" i="1"/>
  <c r="N7" i="1"/>
  <c r="M7" i="1"/>
  <c r="J7" i="1"/>
  <c r="I7" i="1"/>
  <c r="H7" i="1"/>
  <c r="G7" i="1"/>
  <c r="F7" i="1"/>
  <c r="E7" i="1"/>
  <c r="D7" i="1"/>
  <c r="C7" i="1"/>
  <c r="B7" i="1"/>
  <c r="X6" i="1"/>
  <c r="V6" i="1"/>
  <c r="U6" i="1"/>
  <c r="T6" i="1"/>
  <c r="S6" i="1"/>
  <c r="R6" i="1"/>
  <c r="Q6" i="1"/>
  <c r="N6" i="1"/>
  <c r="M6" i="1"/>
  <c r="J6" i="1"/>
  <c r="I6" i="1"/>
  <c r="H6" i="1"/>
  <c r="G6" i="1"/>
  <c r="F6" i="1"/>
  <c r="E6" i="1"/>
  <c r="D6" i="1"/>
  <c r="C6" i="1"/>
  <c r="B6" i="1"/>
  <c r="X5" i="1"/>
  <c r="V5" i="1"/>
  <c r="U5" i="1"/>
  <c r="T5" i="1"/>
  <c r="S5" i="1"/>
  <c r="R5" i="1"/>
  <c r="Q5" i="1"/>
  <c r="N5" i="1"/>
  <c r="M5" i="1"/>
  <c r="J5" i="1"/>
  <c r="I5" i="1"/>
  <c r="H5" i="1"/>
  <c r="G5" i="1"/>
  <c r="F5" i="1"/>
  <c r="E5" i="1"/>
  <c r="D5" i="1"/>
  <c r="C5" i="1"/>
  <c r="B5" i="1"/>
  <c r="X4" i="1"/>
  <c r="V4" i="1"/>
  <c r="U4" i="1"/>
  <c r="T4" i="1"/>
  <c r="S4" i="1"/>
  <c r="R4" i="1"/>
  <c r="Q4" i="1"/>
  <c r="N4" i="1"/>
  <c r="M4" i="1"/>
  <c r="J4" i="1"/>
  <c r="I4" i="1"/>
  <c r="H4" i="1"/>
  <c r="G4" i="1"/>
  <c r="F4" i="1"/>
  <c r="E4" i="1"/>
  <c r="D4" i="1"/>
  <c r="C4" i="1"/>
  <c r="B4" i="1"/>
  <c r="X3" i="1"/>
  <c r="V3" i="1"/>
  <c r="U3" i="1"/>
  <c r="T3" i="1"/>
  <c r="S3" i="1"/>
  <c r="R3" i="1"/>
  <c r="Q3" i="1"/>
  <c r="N3" i="1"/>
  <c r="M3" i="1"/>
  <c r="J3" i="1"/>
  <c r="I3" i="1"/>
  <c r="H3" i="1"/>
  <c r="G3" i="1"/>
  <c r="F3" i="1"/>
  <c r="E3" i="1"/>
  <c r="D3" i="1"/>
  <c r="C3" i="1"/>
  <c r="B3" i="1"/>
  <c r="X2" i="1"/>
  <c r="V2" i="1"/>
  <c r="U2" i="1"/>
  <c r="T2" i="1"/>
  <c r="S2" i="1"/>
  <c r="R2" i="1"/>
  <c r="Q2" i="1"/>
  <c r="N2" i="1"/>
  <c r="M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<sst xmlns="http://schemas.openxmlformats.org/spreadsheetml/2006/main" count="114" uniqueCount="86">
  <si>
    <t>Employee Name</t>
  </si>
  <si>
    <t>Upper</t>
  </si>
  <si>
    <t>Lower</t>
  </si>
  <si>
    <t>Proper</t>
  </si>
  <si>
    <t>Len</t>
  </si>
  <si>
    <t>Left</t>
  </si>
  <si>
    <t>Right</t>
  </si>
  <si>
    <t>MID</t>
  </si>
  <si>
    <t>1st half name</t>
  </si>
  <si>
    <t>2nd half name</t>
  </si>
  <si>
    <t>First Name</t>
  </si>
  <si>
    <t>Last Name</t>
  </si>
  <si>
    <t>Full Name</t>
  </si>
  <si>
    <t>Exact</t>
  </si>
  <si>
    <t>(Operator)</t>
  </si>
  <si>
    <t>Find</t>
  </si>
  <si>
    <t>Search</t>
  </si>
  <si>
    <t>Replace</t>
  </si>
  <si>
    <t>Substitute</t>
  </si>
  <si>
    <t>Trim</t>
  </si>
  <si>
    <t>JP Kumar</t>
  </si>
  <si>
    <t>JP</t>
  </si>
  <si>
    <t>Kumar</t>
  </si>
  <si>
    <t>Jp Kumar</t>
  </si>
  <si>
    <t>JP                           Kumar</t>
  </si>
  <si>
    <t>Anjali THakur</t>
  </si>
  <si>
    <t>Anjali</t>
  </si>
  <si>
    <t>THakur</t>
  </si>
  <si>
    <t>Anjali Thakur</t>
  </si>
  <si>
    <t>Anjali        THakur</t>
  </si>
  <si>
    <t>Priya AgarwaL</t>
  </si>
  <si>
    <t>Priya</t>
  </si>
  <si>
    <t>AgarwaL</t>
  </si>
  <si>
    <t>Priya Agarwal</t>
  </si>
  <si>
    <t>Priya                 AgarwaL</t>
  </si>
  <si>
    <t>R Vasu</t>
  </si>
  <si>
    <t>R</t>
  </si>
  <si>
    <t>Vasu</t>
  </si>
  <si>
    <t>R             Vasu</t>
  </si>
  <si>
    <t>Sanjay GuptA</t>
  </si>
  <si>
    <t>Sanjay</t>
  </si>
  <si>
    <t>GuptA</t>
  </si>
  <si>
    <t>Sanjay Roy</t>
  </si>
  <si>
    <t>Sanjay Gupta</t>
  </si>
  <si>
    <t>Sanjay                  GuptA</t>
  </si>
  <si>
    <t>Jharna Biswal</t>
  </si>
  <si>
    <t>Jharna</t>
  </si>
  <si>
    <t>Biswal</t>
  </si>
  <si>
    <t>Jharna                    Biswal</t>
  </si>
  <si>
    <t>Prakash Dutta</t>
  </si>
  <si>
    <t>Prakash</t>
  </si>
  <si>
    <t>Dutta</t>
  </si>
  <si>
    <t>Prakash                    Dutta</t>
  </si>
  <si>
    <t>Manisha Guha</t>
  </si>
  <si>
    <t>Manisha</t>
  </si>
  <si>
    <t>Guha</t>
  </si>
  <si>
    <t>Manisha                   Guha</t>
  </si>
  <si>
    <t>Arjun JAiN</t>
  </si>
  <si>
    <t>Arjun</t>
  </si>
  <si>
    <t>JAiN</t>
  </si>
  <si>
    <t>Arjun Jain</t>
  </si>
  <si>
    <t>Arjun             JAiN</t>
  </si>
  <si>
    <t>Arjun Kapoor</t>
  </si>
  <si>
    <t>Kapoor</t>
  </si>
  <si>
    <t>Arjun                        Kapoor</t>
  </si>
  <si>
    <t>Functions:</t>
  </si>
  <si>
    <t xml:space="preserve">it is used to perform a spesicfic task </t>
  </si>
  <si>
    <t>Which is already predefined of set of rules and instructions</t>
  </si>
  <si>
    <t>Date: 29-12-2025</t>
  </si>
  <si>
    <t>Formulas:</t>
  </si>
  <si>
    <t>There are two functions:</t>
  </si>
  <si>
    <t>Data Cleaning</t>
  </si>
  <si>
    <t>1. Buit-in function</t>
  </si>
  <si>
    <t>2.User defined fucntion</t>
  </si>
  <si>
    <t>Mid</t>
  </si>
  <si>
    <t>Lower case</t>
  </si>
  <si>
    <t>Operator : it is not case sentsitive</t>
  </si>
  <si>
    <t>Excel used as a Built-in Function</t>
  </si>
  <si>
    <t>Upper case</t>
  </si>
  <si>
    <t>function: Case sensitive</t>
  </si>
  <si>
    <t>Concat</t>
  </si>
  <si>
    <t>1.function name</t>
  </si>
  <si>
    <t>2.no of inputs and its type</t>
  </si>
  <si>
    <t>3.return value/type</t>
  </si>
  <si>
    <t>Operator</t>
  </si>
  <si>
    <t xml:space="preserve">Search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</si>
</sst>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2F65-7C72-43CE-B9D5-93F9453BA6E4}">
  <dimension ref="A1:X31"/>
  <sheetViews>
    <sheetView tabSelected="1" workbookViewId="0">
      <selection activeCell="E14" sqref="E14"/>
    </sheetView>
  </sheetViews>
  <sheetFormatPr defaultRowHeight="14.4" x14ac:dyDescent="0.3"/>
  <cols>
    <col min="2" max="2" width="15.88671875" customWidth="1"/>
    <col min="3" max="3" width="17.109375" customWidth="1"/>
    <col min="4" max="13" width="18.44140625"/>
    <col min="14" max="14" width="18.44140625" customWidth="1"/>
    <col min="15" max="20" width="18.44140625"/>
    <col min="21" max="21" width="22.5546875" bestFit="1" customWidth="1"/>
  </cols>
  <sheetData>
    <row r="1" spans="1:2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0</v>
      </c>
      <c r="P1" s="1" t="s">
        <v>0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0</v>
      </c>
      <c r="X1" s="1" t="s">
        <v>19</v>
      </c>
    </row>
    <row r="2" spans="1:24" x14ac:dyDescent="0.3">
      <c r="A2" t="s">
        <v>20</v>
      </c>
      <c r="B2" s="2" t="str">
        <f>UPPER(A2)</f>
        <v>JP KUMAR</v>
      </c>
      <c r="C2" t="str">
        <f>LOWER(A2)</f>
        <v>jp kumar</v>
      </c>
      <c r="D2" t="str">
        <f>PROPER(A2)</f>
        <v>Jp Kumar</v>
      </c>
      <c r="E2">
        <f>LEN(A2)</f>
        <v>8</v>
      </c>
      <c r="F2" t="str">
        <f>LEFT(A2,4)</f>
        <v>JP K</v>
      </c>
      <c r="G2" t="str">
        <f>RIGHT(A2,3)</f>
        <v>mar</v>
      </c>
      <c r="H2" t="str">
        <f>MID(A2,4,3)</f>
        <v>Kum</v>
      </c>
      <c r="I2" t="str">
        <f>LEFT(A2,LEN(A2)/2)</f>
        <v>JP K</v>
      </c>
      <c r="J2" t="str">
        <f>RIGHT(A2,ROUND(LEN(A2)/2,0))</f>
        <v>umar</v>
      </c>
      <c r="K2" t="s">
        <v>21</v>
      </c>
      <c r="L2" t="s">
        <v>22</v>
      </c>
      <c r="M2" t="str">
        <f>K2&amp;" "&amp;L2</f>
        <v>JP Kumar</v>
      </c>
      <c r="N2" t="str">
        <f>_xlfn.CONCAT(K2," ",L2)</f>
        <v>JP Kumar</v>
      </c>
      <c r="O2" t="s">
        <v>20</v>
      </c>
      <c r="P2" t="s">
        <v>23</v>
      </c>
      <c r="Q2" t="b">
        <f>EXACT(O2,P2)</f>
        <v>0</v>
      </c>
      <c r="R2" t="b">
        <f>O2=P2</f>
        <v>1</v>
      </c>
      <c r="S2">
        <f>FIND("a",P2)</f>
        <v>7</v>
      </c>
      <c r="T2">
        <f>SEARCH("A",P2)</f>
        <v>7</v>
      </c>
      <c r="U2" t="str">
        <f>REPLACE(P2,7,1,"@")</f>
        <v>Jp Kum@r</v>
      </c>
      <c r="V2" t="str">
        <f>SUBSTITUTE(P2,"a","@")</f>
        <v>Jp Kum@r</v>
      </c>
      <c r="W2" t="s">
        <v>24</v>
      </c>
      <c r="X2" t="str">
        <f>TRIM(W2)</f>
        <v>JP Kumar</v>
      </c>
    </row>
    <row r="3" spans="1:24" x14ac:dyDescent="0.3">
      <c r="A3" t="s">
        <v>25</v>
      </c>
      <c r="B3" s="2" t="str">
        <f t="shared" ref="B3:B11" si="0">UPPER(A3)</f>
        <v>ANJALI THAKUR</v>
      </c>
      <c r="C3" t="str">
        <f t="shared" ref="C3:C12" si="1">LOWER(A3)</f>
        <v>anjali thakur</v>
      </c>
      <c r="D3" t="str">
        <f t="shared" ref="D3:D11" si="2">PROPER(A3)</f>
        <v>Anjali Thakur</v>
      </c>
      <c r="E3">
        <f t="shared" ref="E3:E11" si="3">LEN(A3)</f>
        <v>13</v>
      </c>
      <c r="F3" t="str">
        <f t="shared" ref="F3:F11" si="4">LEFT(A3,4)</f>
        <v>Anja</v>
      </c>
      <c r="G3" t="str">
        <f t="shared" ref="G3:G11" si="5">RIGHT(A3,3)</f>
        <v>kur</v>
      </c>
      <c r="H3" t="str">
        <f t="shared" ref="H3:H11" si="6">MID(A3,4,3)</f>
        <v>ali</v>
      </c>
      <c r="I3" t="str">
        <f t="shared" ref="I3:I11" si="7">LEFT(A3,LEN(A3)/2)</f>
        <v>Anjali</v>
      </c>
      <c r="J3" t="str">
        <f t="shared" ref="J3:J11" si="8">RIGHT(A3,ROUND(LEN(A3)/2,0))</f>
        <v xml:space="preserve"> THakur</v>
      </c>
      <c r="K3" t="s">
        <v>26</v>
      </c>
      <c r="L3" t="s">
        <v>27</v>
      </c>
      <c r="M3" t="str">
        <f t="shared" ref="M3:M11" si="9">K3&amp;" "&amp;L3</f>
        <v>Anjali THakur</v>
      </c>
      <c r="N3" t="str">
        <f t="shared" ref="N3:N11" si="10">_xlfn.CONCAT(K3," ",L3)</f>
        <v>Anjali THakur</v>
      </c>
      <c r="O3" t="s">
        <v>25</v>
      </c>
      <c r="P3" t="s">
        <v>28</v>
      </c>
      <c r="Q3" t="b">
        <f t="shared" ref="Q3:Q11" si="11">EXACT(O3,P3)</f>
        <v>0</v>
      </c>
      <c r="R3" t="b">
        <f t="shared" ref="R3:R11" si="12">O3=P3</f>
        <v>1</v>
      </c>
      <c r="S3">
        <f t="shared" ref="S3:S11" si="13">FIND("a",P3)</f>
        <v>4</v>
      </c>
      <c r="T3">
        <f t="shared" ref="T3:T11" si="14">SEARCH("A",P3)</f>
        <v>1</v>
      </c>
      <c r="U3" t="str">
        <f t="shared" ref="U3:U11" si="15">REPLACE(P3,7,1,"@")</f>
        <v>Anjali@Thakur</v>
      </c>
      <c r="V3" t="str">
        <f t="shared" ref="V3:V11" si="16">SUBSTITUTE(P3,"a","@")</f>
        <v>Anj@li Th@kur</v>
      </c>
      <c r="W3" t="s">
        <v>29</v>
      </c>
      <c r="X3" t="str">
        <f t="shared" ref="X3:X11" si="17">TRIM(W3)</f>
        <v>Anjali THakur</v>
      </c>
    </row>
    <row r="4" spans="1:24" x14ac:dyDescent="0.3">
      <c r="A4" t="s">
        <v>30</v>
      </c>
      <c r="B4" s="2" t="str">
        <f t="shared" si="0"/>
        <v>PRIYA AGARWAL</v>
      </c>
      <c r="C4" t="str">
        <f t="shared" si="1"/>
        <v>priya agarwal</v>
      </c>
      <c r="D4" t="str">
        <f t="shared" si="2"/>
        <v>Priya Agarwal</v>
      </c>
      <c r="E4">
        <f t="shared" si="3"/>
        <v>13</v>
      </c>
      <c r="F4" t="str">
        <f t="shared" si="4"/>
        <v>Priy</v>
      </c>
      <c r="G4" t="str">
        <f t="shared" si="5"/>
        <v>waL</v>
      </c>
      <c r="H4" t="str">
        <f t="shared" si="6"/>
        <v xml:space="preserve">ya </v>
      </c>
      <c r="I4" t="str">
        <f t="shared" si="7"/>
        <v xml:space="preserve">Priya </v>
      </c>
      <c r="J4" t="str">
        <f t="shared" si="8"/>
        <v>AgarwaL</v>
      </c>
      <c r="K4" t="s">
        <v>31</v>
      </c>
      <c r="L4" t="s">
        <v>32</v>
      </c>
      <c r="M4" t="str">
        <f t="shared" si="9"/>
        <v>Priya AgarwaL</v>
      </c>
      <c r="N4" t="str">
        <f t="shared" si="10"/>
        <v>Priya AgarwaL</v>
      </c>
      <c r="O4" t="s">
        <v>30</v>
      </c>
      <c r="P4" t="s">
        <v>33</v>
      </c>
      <c r="Q4" t="b">
        <f t="shared" si="11"/>
        <v>0</v>
      </c>
      <c r="R4" t="b">
        <f t="shared" si="12"/>
        <v>1</v>
      </c>
      <c r="S4">
        <f t="shared" si="13"/>
        <v>5</v>
      </c>
      <c r="T4">
        <f t="shared" si="14"/>
        <v>5</v>
      </c>
      <c r="U4" t="str">
        <f t="shared" si="15"/>
        <v>Priya @garwal</v>
      </c>
      <c r="V4" t="str">
        <f t="shared" si="16"/>
        <v>Priy@ Ag@rw@l</v>
      </c>
      <c r="W4" t="s">
        <v>34</v>
      </c>
      <c r="X4" t="str">
        <f t="shared" si="17"/>
        <v>Priya AgarwaL</v>
      </c>
    </row>
    <row r="5" spans="1:24" x14ac:dyDescent="0.3">
      <c r="A5" t="s">
        <v>35</v>
      </c>
      <c r="B5" s="2" t="str">
        <f t="shared" si="0"/>
        <v>R VASU</v>
      </c>
      <c r="C5" t="str">
        <f t="shared" si="1"/>
        <v>r vasu</v>
      </c>
      <c r="D5" t="str">
        <f t="shared" si="2"/>
        <v>R Vasu</v>
      </c>
      <c r="E5">
        <f t="shared" si="3"/>
        <v>6</v>
      </c>
      <c r="F5" t="str">
        <f t="shared" si="4"/>
        <v>R Va</v>
      </c>
      <c r="G5" t="str">
        <f t="shared" si="5"/>
        <v>asu</v>
      </c>
      <c r="H5" t="str">
        <f t="shared" si="6"/>
        <v>asu</v>
      </c>
      <c r="I5" t="str">
        <f t="shared" si="7"/>
        <v>R V</v>
      </c>
      <c r="J5" t="str">
        <f t="shared" si="8"/>
        <v>asu</v>
      </c>
      <c r="K5" t="s">
        <v>36</v>
      </c>
      <c r="L5" t="s">
        <v>37</v>
      </c>
      <c r="M5" t="str">
        <f t="shared" si="9"/>
        <v>R Vasu</v>
      </c>
      <c r="N5" t="str">
        <f t="shared" si="10"/>
        <v>R Vasu</v>
      </c>
      <c r="O5" t="s">
        <v>35</v>
      </c>
      <c r="P5" t="s">
        <v>35</v>
      </c>
      <c r="Q5" t="b">
        <f t="shared" si="11"/>
        <v>1</v>
      </c>
      <c r="R5" t="b">
        <f t="shared" si="12"/>
        <v>1</v>
      </c>
      <c r="S5">
        <f t="shared" si="13"/>
        <v>4</v>
      </c>
      <c r="T5">
        <f t="shared" si="14"/>
        <v>4</v>
      </c>
      <c r="U5" t="str">
        <f t="shared" si="15"/>
        <v>R Vasu@</v>
      </c>
      <c r="V5" t="str">
        <f t="shared" si="16"/>
        <v>R V@su</v>
      </c>
      <c r="W5" t="s">
        <v>38</v>
      </c>
      <c r="X5" t="str">
        <f t="shared" si="17"/>
        <v>R Vasu</v>
      </c>
    </row>
    <row r="6" spans="1:24" x14ac:dyDescent="0.3">
      <c r="A6" t="s">
        <v>39</v>
      </c>
      <c r="B6" s="2" t="str">
        <f t="shared" si="0"/>
        <v>SANJAY GUPTA</v>
      </c>
      <c r="C6" t="str">
        <f t="shared" si="1"/>
        <v>sanjay gupta</v>
      </c>
      <c r="D6" t="str">
        <f t="shared" si="2"/>
        <v>Sanjay Gupta</v>
      </c>
      <c r="E6">
        <f t="shared" si="3"/>
        <v>12</v>
      </c>
      <c r="F6" t="str">
        <f t="shared" si="4"/>
        <v>Sanj</v>
      </c>
      <c r="G6" t="str">
        <f t="shared" si="5"/>
        <v>ptA</v>
      </c>
      <c r="H6" t="str">
        <f t="shared" si="6"/>
        <v>jay</v>
      </c>
      <c r="I6" t="str">
        <f t="shared" si="7"/>
        <v>Sanjay</v>
      </c>
      <c r="J6" t="str">
        <f t="shared" si="8"/>
        <v xml:space="preserve"> GuptA</v>
      </c>
      <c r="K6" t="s">
        <v>40</v>
      </c>
      <c r="L6" t="s">
        <v>41</v>
      </c>
      <c r="M6" t="str">
        <f t="shared" si="9"/>
        <v>Sanjay GuptA</v>
      </c>
      <c r="N6" t="str">
        <f t="shared" si="10"/>
        <v>Sanjay GuptA</v>
      </c>
      <c r="O6" t="s">
        <v>42</v>
      </c>
      <c r="P6" t="s">
        <v>43</v>
      </c>
      <c r="Q6" t="b">
        <f t="shared" si="11"/>
        <v>0</v>
      </c>
      <c r="R6" t="b">
        <f t="shared" si="12"/>
        <v>0</v>
      </c>
      <c r="S6">
        <f t="shared" si="13"/>
        <v>2</v>
      </c>
      <c r="T6">
        <f t="shared" si="14"/>
        <v>2</v>
      </c>
      <c r="U6" t="str">
        <f t="shared" si="15"/>
        <v>Sanjay@Gupta</v>
      </c>
      <c r="V6" t="str">
        <f t="shared" si="16"/>
        <v>S@nj@y Gupt@</v>
      </c>
      <c r="W6" t="s">
        <v>44</v>
      </c>
      <c r="X6" t="str">
        <f t="shared" si="17"/>
        <v>Sanjay GuptA</v>
      </c>
    </row>
    <row r="7" spans="1:24" x14ac:dyDescent="0.3">
      <c r="A7" t="s">
        <v>45</v>
      </c>
      <c r="B7" s="2" t="str">
        <f t="shared" si="0"/>
        <v>JHARNA BISWAL</v>
      </c>
      <c r="C7" t="str">
        <f t="shared" si="1"/>
        <v>jharna biswal</v>
      </c>
      <c r="D7" t="str">
        <f t="shared" si="2"/>
        <v>Jharna Biswal</v>
      </c>
      <c r="E7">
        <f t="shared" si="3"/>
        <v>13</v>
      </c>
      <c r="F7" t="str">
        <f t="shared" si="4"/>
        <v>Jhar</v>
      </c>
      <c r="G7" t="str">
        <f t="shared" si="5"/>
        <v>wal</v>
      </c>
      <c r="H7" t="str">
        <f t="shared" si="6"/>
        <v>rna</v>
      </c>
      <c r="I7" t="str">
        <f t="shared" si="7"/>
        <v>Jharna</v>
      </c>
      <c r="J7" t="str">
        <f t="shared" si="8"/>
        <v xml:space="preserve"> Biswal</v>
      </c>
      <c r="K7" t="s">
        <v>46</v>
      </c>
      <c r="L7" t="s">
        <v>47</v>
      </c>
      <c r="M7" t="str">
        <f t="shared" si="9"/>
        <v>Jharna Biswal</v>
      </c>
      <c r="N7" t="str">
        <f t="shared" si="10"/>
        <v>Jharna Biswal</v>
      </c>
      <c r="O7" t="s">
        <v>45</v>
      </c>
      <c r="P7" t="s">
        <v>45</v>
      </c>
      <c r="Q7" t="b">
        <f t="shared" si="11"/>
        <v>1</v>
      </c>
      <c r="R7" t="b">
        <f t="shared" si="12"/>
        <v>1</v>
      </c>
      <c r="S7">
        <f t="shared" si="13"/>
        <v>3</v>
      </c>
      <c r="T7">
        <f t="shared" si="14"/>
        <v>3</v>
      </c>
      <c r="U7" t="str">
        <f t="shared" si="15"/>
        <v>Jharna@Biswal</v>
      </c>
      <c r="V7" t="str">
        <f t="shared" si="16"/>
        <v>Jh@rn@ Bisw@l</v>
      </c>
      <c r="W7" t="s">
        <v>48</v>
      </c>
      <c r="X7" t="str">
        <f t="shared" si="17"/>
        <v>Jharna Biswal</v>
      </c>
    </row>
    <row r="8" spans="1:24" x14ac:dyDescent="0.3">
      <c r="A8" t="s">
        <v>49</v>
      </c>
      <c r="B8" s="2" t="str">
        <f t="shared" si="0"/>
        <v>PRAKASH DUTTA</v>
      </c>
      <c r="C8" t="str">
        <f t="shared" si="1"/>
        <v>prakash dutta</v>
      </c>
      <c r="D8" t="str">
        <f t="shared" si="2"/>
        <v>Prakash Dutta</v>
      </c>
      <c r="E8">
        <f t="shared" si="3"/>
        <v>13</v>
      </c>
      <c r="F8" t="str">
        <f t="shared" si="4"/>
        <v>Prak</v>
      </c>
      <c r="G8" t="str">
        <f t="shared" si="5"/>
        <v>tta</v>
      </c>
      <c r="H8" t="str">
        <f t="shared" si="6"/>
        <v>kas</v>
      </c>
      <c r="I8" t="str">
        <f t="shared" si="7"/>
        <v>Prakas</v>
      </c>
      <c r="J8" t="str">
        <f t="shared" si="8"/>
        <v>h Dutta</v>
      </c>
      <c r="K8" t="s">
        <v>50</v>
      </c>
      <c r="L8" t="s">
        <v>51</v>
      </c>
      <c r="M8" t="str">
        <f t="shared" si="9"/>
        <v>Prakash Dutta</v>
      </c>
      <c r="N8" t="str">
        <f t="shared" si="10"/>
        <v>Prakash Dutta</v>
      </c>
      <c r="O8" t="s">
        <v>49</v>
      </c>
      <c r="P8" t="s">
        <v>49</v>
      </c>
      <c r="Q8" t="b">
        <f t="shared" si="11"/>
        <v>1</v>
      </c>
      <c r="R8" t="b">
        <f t="shared" si="12"/>
        <v>1</v>
      </c>
      <c r="S8">
        <f t="shared" si="13"/>
        <v>3</v>
      </c>
      <c r="T8">
        <f t="shared" si="14"/>
        <v>3</v>
      </c>
      <c r="U8" t="str">
        <f t="shared" si="15"/>
        <v>Prakas@ Dutta</v>
      </c>
      <c r="V8" t="str">
        <f t="shared" si="16"/>
        <v>Pr@k@sh Dutt@</v>
      </c>
      <c r="W8" t="s">
        <v>52</v>
      </c>
      <c r="X8" t="str">
        <f t="shared" si="17"/>
        <v>Prakash Dutta</v>
      </c>
    </row>
    <row r="9" spans="1:24" x14ac:dyDescent="0.3">
      <c r="A9" t="s">
        <v>53</v>
      </c>
      <c r="B9" s="2" t="str">
        <f t="shared" si="0"/>
        <v>MANISHA GUHA</v>
      </c>
      <c r="C9" t="str">
        <f t="shared" si="1"/>
        <v>manisha guha</v>
      </c>
      <c r="D9" t="str">
        <f t="shared" si="2"/>
        <v>Manisha Guha</v>
      </c>
      <c r="E9">
        <f t="shared" si="3"/>
        <v>12</v>
      </c>
      <c r="F9" t="str">
        <f t="shared" si="4"/>
        <v>Mani</v>
      </c>
      <c r="G9" t="str">
        <f t="shared" si="5"/>
        <v>uha</v>
      </c>
      <c r="H9" t="str">
        <f t="shared" si="6"/>
        <v>ish</v>
      </c>
      <c r="I9" t="str">
        <f t="shared" si="7"/>
        <v>Manish</v>
      </c>
      <c r="J9" t="str">
        <f t="shared" si="8"/>
        <v>a Guha</v>
      </c>
      <c r="K9" t="s">
        <v>54</v>
      </c>
      <c r="L9" t="s">
        <v>55</v>
      </c>
      <c r="M9" t="str">
        <f t="shared" si="9"/>
        <v>Manisha Guha</v>
      </c>
      <c r="N9" t="str">
        <f t="shared" si="10"/>
        <v>Manisha Guha</v>
      </c>
      <c r="O9" t="s">
        <v>53</v>
      </c>
      <c r="P9" t="s">
        <v>53</v>
      </c>
      <c r="Q9" t="b">
        <f t="shared" si="11"/>
        <v>1</v>
      </c>
      <c r="R9" t="b">
        <f t="shared" si="12"/>
        <v>1</v>
      </c>
      <c r="S9">
        <f t="shared" si="13"/>
        <v>2</v>
      </c>
      <c r="T9">
        <f t="shared" si="14"/>
        <v>2</v>
      </c>
      <c r="U9" t="str">
        <f t="shared" si="15"/>
        <v>Manish@ Guha</v>
      </c>
      <c r="V9" t="str">
        <f t="shared" si="16"/>
        <v>M@nish@ Guh@</v>
      </c>
      <c r="W9" t="s">
        <v>56</v>
      </c>
      <c r="X9" t="str">
        <f t="shared" si="17"/>
        <v>Manisha Guha</v>
      </c>
    </row>
    <row r="10" spans="1:24" x14ac:dyDescent="0.3">
      <c r="A10" t="s">
        <v>57</v>
      </c>
      <c r="B10" s="2" t="str">
        <f t="shared" si="0"/>
        <v>ARJUN JAIN</v>
      </c>
      <c r="C10" t="str">
        <f t="shared" si="1"/>
        <v>arjun jain</v>
      </c>
      <c r="D10" t="str">
        <f t="shared" si="2"/>
        <v>Arjun Jain</v>
      </c>
      <c r="E10">
        <f t="shared" si="3"/>
        <v>10</v>
      </c>
      <c r="F10" t="str">
        <f t="shared" si="4"/>
        <v>Arju</v>
      </c>
      <c r="G10" t="str">
        <f t="shared" si="5"/>
        <v>AiN</v>
      </c>
      <c r="H10" t="str">
        <f t="shared" si="6"/>
        <v xml:space="preserve">un </v>
      </c>
      <c r="I10" t="str">
        <f t="shared" si="7"/>
        <v>Arjun</v>
      </c>
      <c r="J10" t="str">
        <f t="shared" si="8"/>
        <v xml:space="preserve"> JAiN</v>
      </c>
      <c r="K10" t="s">
        <v>58</v>
      </c>
      <c r="L10" t="s">
        <v>59</v>
      </c>
      <c r="M10" t="str">
        <f t="shared" si="9"/>
        <v>Arjun JAiN</v>
      </c>
      <c r="N10" t="str">
        <f t="shared" si="10"/>
        <v>Arjun JAiN</v>
      </c>
      <c r="O10" t="s">
        <v>57</v>
      </c>
      <c r="P10" t="s">
        <v>60</v>
      </c>
      <c r="Q10" t="b">
        <f t="shared" si="11"/>
        <v>0</v>
      </c>
      <c r="R10" t="b">
        <f t="shared" si="12"/>
        <v>1</v>
      </c>
      <c r="S10">
        <f t="shared" si="13"/>
        <v>8</v>
      </c>
      <c r="T10">
        <f t="shared" si="14"/>
        <v>1</v>
      </c>
      <c r="U10" t="str">
        <f t="shared" si="15"/>
        <v>Arjun @ain</v>
      </c>
      <c r="V10" t="str">
        <f t="shared" si="16"/>
        <v>Arjun J@in</v>
      </c>
      <c r="W10" t="s">
        <v>61</v>
      </c>
      <c r="X10" t="str">
        <f t="shared" si="17"/>
        <v>Arjun JAiN</v>
      </c>
    </row>
    <row r="11" spans="1:24" x14ac:dyDescent="0.3">
      <c r="A11" t="s">
        <v>62</v>
      </c>
      <c r="B11" s="2" t="str">
        <f t="shared" si="0"/>
        <v>ARJUN KAPOOR</v>
      </c>
      <c r="C11" t="str">
        <f t="shared" si="1"/>
        <v>arjun kapoor</v>
      </c>
      <c r="D11" t="str">
        <f t="shared" si="2"/>
        <v>Arjun Kapoor</v>
      </c>
      <c r="E11">
        <f t="shared" si="3"/>
        <v>12</v>
      </c>
      <c r="F11" t="str">
        <f t="shared" si="4"/>
        <v>Arju</v>
      </c>
      <c r="G11" t="str">
        <f t="shared" si="5"/>
        <v>oor</v>
      </c>
      <c r="H11" t="str">
        <f t="shared" si="6"/>
        <v xml:space="preserve">un </v>
      </c>
      <c r="I11" t="str">
        <f t="shared" si="7"/>
        <v xml:space="preserve">Arjun </v>
      </c>
      <c r="J11" t="str">
        <f t="shared" si="8"/>
        <v>Kapoor</v>
      </c>
      <c r="K11" t="s">
        <v>58</v>
      </c>
      <c r="L11" t="s">
        <v>63</v>
      </c>
      <c r="M11" t="str">
        <f t="shared" si="9"/>
        <v>Arjun Kapoor</v>
      </c>
      <c r="N11" t="str">
        <f t="shared" si="10"/>
        <v>Arjun Kapoor</v>
      </c>
      <c r="O11" t="s">
        <v>62</v>
      </c>
      <c r="P11" t="s">
        <v>62</v>
      </c>
      <c r="Q11" t="b">
        <f t="shared" si="11"/>
        <v>1</v>
      </c>
      <c r="R11" t="b">
        <f t="shared" si="12"/>
        <v>1</v>
      </c>
      <c r="S11">
        <f t="shared" si="13"/>
        <v>8</v>
      </c>
      <c r="T11">
        <f t="shared" si="14"/>
        <v>1</v>
      </c>
      <c r="U11" t="str">
        <f t="shared" si="15"/>
        <v>Arjun @apoor</v>
      </c>
      <c r="V11" t="str">
        <f t="shared" si="16"/>
        <v>Arjun K@poor</v>
      </c>
      <c r="W11" t="s">
        <v>64</v>
      </c>
      <c r="X11" t="str">
        <f t="shared" si="17"/>
        <v>Arjun Kapoor</v>
      </c>
    </row>
    <row r="12" spans="1:24" x14ac:dyDescent="0.3">
      <c r="C12" t="str">
        <f t="shared" si="1"/>
        <v/>
      </c>
    </row>
    <row r="14" spans="1:24" x14ac:dyDescent="0.3">
      <c r="A14" s="3" t="s">
        <v>65</v>
      </c>
    </row>
    <row r="15" spans="1:24" x14ac:dyDescent="0.3">
      <c r="A15" t="s">
        <v>66</v>
      </c>
    </row>
    <row r="16" spans="1:24" x14ac:dyDescent="0.3">
      <c r="A16" t="s">
        <v>67</v>
      </c>
      <c r="D16" s="1" t="s">
        <v>68</v>
      </c>
      <c r="F16" s="3" t="s">
        <v>69</v>
      </c>
    </row>
    <row r="17" spans="1:14" x14ac:dyDescent="0.3">
      <c r="A17" s="3" t="s">
        <v>70</v>
      </c>
      <c r="D17" t="s">
        <v>71</v>
      </c>
      <c r="F17" t="s">
        <v>5</v>
      </c>
    </row>
    <row r="18" spans="1:14" x14ac:dyDescent="0.3">
      <c r="A18" t="s">
        <v>72</v>
      </c>
      <c r="F18" t="s">
        <v>6</v>
      </c>
    </row>
    <row r="19" spans="1:14" x14ac:dyDescent="0.3">
      <c r="A19" t="s">
        <v>73</v>
      </c>
      <c r="F19" t="s">
        <v>74</v>
      </c>
    </row>
    <row r="20" spans="1:14" x14ac:dyDescent="0.3">
      <c r="F20" t="s">
        <v>75</v>
      </c>
      <c r="N20" t="s">
        <v>76</v>
      </c>
    </row>
    <row r="21" spans="1:14" x14ac:dyDescent="0.3">
      <c r="A21" s="1" t="s">
        <v>77</v>
      </c>
      <c r="F21" t="s">
        <v>78</v>
      </c>
      <c r="N21" t="s">
        <v>79</v>
      </c>
    </row>
    <row r="22" spans="1:14" x14ac:dyDescent="0.3">
      <c r="F22" t="s">
        <v>80</v>
      </c>
    </row>
    <row r="23" spans="1:14" x14ac:dyDescent="0.3">
      <c r="A23" t="s">
        <v>81</v>
      </c>
      <c r="F23" t="s">
        <v>13</v>
      </c>
    </row>
    <row r="24" spans="1:14" x14ac:dyDescent="0.3">
      <c r="A24" t="s">
        <v>82</v>
      </c>
      <c r="F24" t="s">
        <v>15</v>
      </c>
    </row>
    <row r="25" spans="1:14" x14ac:dyDescent="0.3">
      <c r="A25" t="s">
        <v>83</v>
      </c>
      <c r="F25" t="s">
        <v>84</v>
      </c>
    </row>
    <row r="26" spans="1:14" x14ac:dyDescent="0.3">
      <c r="F26" t="s">
        <v>85</v>
      </c>
    </row>
    <row r="27" spans="1:14" x14ac:dyDescent="0.3">
      <c r="F27" t="s">
        <v>18</v>
      </c>
    </row>
    <row r="28" spans="1:14" x14ac:dyDescent="0.3">
      <c r="F28" t="s">
        <v>19</v>
      </c>
    </row>
    <row r="29" spans="1:14" x14ac:dyDescent="0.3">
      <c r="F29" t="s">
        <v>17</v>
      </c>
    </row>
    <row r="30" spans="1:14" x14ac:dyDescent="0.3">
      <c r="F30" t="s">
        <v>4</v>
      </c>
    </row>
    <row r="31" spans="1:14" x14ac:dyDescent="0.3">
      <c r="F31" t="s">
        <v>3</v>
      </c>
    </row>
  </sheetData>
  <dataValidations count="1">
    <dataValidation type="custom" allowBlank="1" showInputMessage="1" showErrorMessage="1" sqref="A1:A11 K1:K11 O1:O11 W1:W11 B2:B11" xr:uid="{B13FA5AE-CE3E-4BFC-B7F0-D8F26E5B2A61}">
      <formula1>ISTEXT(A1)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Sharanakumar moni</dc:creator>
  <cp:lastModifiedBy>Sharanakumar moni</cp:lastModifiedBy>
  <dcterms:created xsi:type="dcterms:W3CDTF">2025-12-29T16:41:36Z</dcterms:created>
  <dcterms:modified xsi:type="dcterms:W3CDTF">2025-12-29T16:42:07Z</dcterms:modified>
</cp:coreProperties>
</file>